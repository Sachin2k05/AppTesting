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>
    <definedName name="_xlnm._FilterDatabase" localSheetId="0" hidden="1">'Security Findings'!$A$1:$J$13</definedName>
    <definedName name="_xlnm._FilterDatabase" localSheetId="1" hidden="1">'Endpoint Inventory'!$A$1:$F$55</definedName>
    <definedName name="_xlnm._FilterDatabase" localSheetId="2" hidden="1">'Dependency Vulnerabilities'!$A$1:$G$5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sz val="12"/>
    </font>
    <font>
      <name val="Arial"/>
      <i val="1"/>
      <color rgb="00595959"/>
      <sz val="9"/>
    </font>
    <font>
      <name val="Arial"/>
      <color rgb="00006100"/>
      <sz val="10"/>
    </font>
    <font>
      <name val="Arial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7C80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44" customWidth="1" min="4" max="4"/>
    <col width="30" customWidth="1" min="5" max="5"/>
    <col width="60" customWidth="1" min="6" max="6"/>
    <col width="60" customWidth="1" min="7" max="7"/>
    <col width="46" customWidth="1" min="8" max="8"/>
    <col width="60" customWidth="1" min="9" max="9"/>
    <col width="17" customWidth="1" min="10" max="10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Impact</t>
        </is>
      </c>
      <c r="I1" s="1" t="inlineStr">
        <is>
          <t>Recommended Fix</t>
        </is>
      </c>
      <c r="J1" s="1" t="inlineStr">
        <is>
          <t>Verification</t>
        </is>
      </c>
    </row>
    <row r="2">
      <c r="A2" s="2" t="inlineStr">
        <is>
          <t>VH-001</t>
        </is>
      </c>
      <c r="B2" s="3" t="inlineStr">
        <is>
          <t>Critical</t>
        </is>
      </c>
      <c r="C2" s="2" t="inlineStr">
        <is>
          <t>Security Misconfiguration (CORS)</t>
        </is>
      </c>
      <c r="D2" s="4" t="inlineStr">
        <is>
          <t>voicehire-backend/server.js:15-21</t>
        </is>
      </c>
      <c r="E2" s="4" t="inlineStr">
        <is>
          <t>ALL endpoints</t>
        </is>
      </c>
      <c r="F2" s="4" t="inlineStr">
        <is>
          <t>The CORS origin callback is `callback(null, true)` for every origin, and `credentials: true` is set. The server therefore reflects any Origin and tells the browser credentials may be sent.</t>
        </is>
      </c>
      <c r="G2" s="4" t="inlineStr">
        <is>
          <t>An attacker hosts evil.example.com. A signed-in victim visits it. Script on that page issues cross-origin XHR to the API; the browser permits it because the server reflects the attacker's origin and allows credentials. Any request the victim's browser can authenticate, the attacker can read.</t>
        </is>
      </c>
      <c r="H2" s="4" t="inlineStr">
        <is>
          <t>Cross-origin read of every authenticated endpoint: profile, knowledge graph, conversation history, applications. Full account data disclosure.</t>
        </is>
      </c>
      <c r="I2" s="4" t="inlineStr">
        <is>
          <t>Replace the permissive callback with an explicit allow-list of the deployed frontend origins. If credentials are genuinely needed, never combine them with a reflected origin. Example: `origin: ['https://voicehire.app']`.</t>
        </is>
      </c>
      <c r="J2" s="2" t="inlineStr">
        <is>
          <t>CONFIRMED-LIVE</t>
        </is>
      </c>
    </row>
    <row r="3">
      <c r="A3" s="2" t="inlineStr">
        <is>
          <t>VH-002</t>
        </is>
      </c>
      <c r="B3" s="5" t="inlineStr">
        <is>
          <t>High</t>
        </is>
      </c>
      <c r="C3" s="2" t="inlineStr">
        <is>
          <t>Broken Access Control (A01)</t>
        </is>
      </c>
      <c r="D3" s="4" t="inlineStr">
        <is>
          <t>voicehire-backend/src/routes/tracker.js, src/routes/notifications.js</t>
        </is>
      </c>
      <c r="E3" s="4" t="inlineStr">
        <is>
          <t>/api/tracker/* (8), /api/notifications/* (8)</t>
        </is>
      </c>
      <c r="F3" s="4" t="inlineStr">
        <is>
          <t>Sixteen endpoints are mounted with no authMiddleware and read/write module-level `new Map()` stores (savedJobsStore, remindersStore, notifStore) that are shared by every caller of the process. There is no per-user scoping of any kind.</t>
        </is>
      </c>
      <c r="G3" s="4" t="inlineStr">
        <is>
          <t>An unauthenticated client calls GET /api/tracker/dashboard or GET /api/notifications and receives whatever is in the shared store. Write endpoints (POST /reminder, POST /read, POST /snooze, DELETE /:id, DELETE /saved/:id) let the same anonymous caller mutate or delete entries belonging to other users.</t>
        </is>
      </c>
      <c r="H3" s="4" t="inlineStr">
        <is>
          <t>Cross-tenant read and write of saved jobs, reminders and notifications with no credential at all.</t>
        </is>
      </c>
      <c r="I3" s="4" t="inlineStr">
        <is>
          <t>Add authMiddleware to every route in both files and key each store by req.userId, or move them to RLS-protected tables via req.supabase. An in-memory Map is also lost on restart and not shared across instances.</t>
        </is>
      </c>
      <c r="J3" s="2" t="inlineStr">
        <is>
          <t>CONFIRMED-LIVE</t>
        </is>
      </c>
    </row>
    <row r="4">
      <c r="A4" s="2" t="inlineStr">
        <is>
          <t>VH-003</t>
        </is>
      </c>
      <c r="B4" s="5" t="inlineStr">
        <is>
          <t>High</t>
        </is>
      </c>
      <c r="C4" s="2" t="inlineStr">
        <is>
          <t>Unauthenticated Mail Relay / Abuse</t>
        </is>
      </c>
      <c r="D4" s="4" t="inlineStr">
        <is>
          <t>voicehire-backend/src/routes/applications.js:277</t>
        </is>
      </c>
      <c r="E4" s="4" t="inlineStr">
        <is>
          <t>POST /api/applications/send-email</t>
        </is>
      </c>
      <c r="F4" s="4" t="inlineStr">
        <is>
          <t>The endpoint sends email to a caller-supplied `to` address with no authentication. Only a 20/minute rate limit guards it, and that limit is bypassable (see VH-004).</t>
        </is>
      </c>
      <c r="G4" s="4" t="inlineStr">
        <is>
          <t>An attacker POSTs arbitrary recipients and job/company strings, rotating the X-Forwarded-For header to defeat throttling, and uses the service to deliver mail from the project's verified sender.</t>
        </is>
      </c>
      <c r="H4" s="4" t="inlineStr">
        <is>
          <t>Spam and phishing sent from the organisation's domain and sender reputation; possible blocklisting of the sending domain; cost abuse.</t>
        </is>
      </c>
      <c r="I4" s="4" t="inlineStr">
        <is>
          <t>Require authMiddleware, and derive the recipient from the authenticated user's own application record rather than the request body. Never accept a free-form recipient from an anonymous caller.</t>
        </is>
      </c>
      <c r="J4" s="2" t="inlineStr">
        <is>
          <t>CONFIRMED-CODE</t>
        </is>
      </c>
    </row>
    <row r="5">
      <c r="A5" s="2" t="inlineStr">
        <is>
          <t>VH-004</t>
        </is>
      </c>
      <c r="B5" s="5" t="inlineStr">
        <is>
          <t>High</t>
        </is>
      </c>
      <c r="C5" s="2" t="inlineStr">
        <is>
          <t>Rate Limiting Bypass</t>
        </is>
      </c>
      <c r="D5" s="4" t="inlineStr">
        <is>
          <t>voicehire-backend/src/middleware/rateLimit.js:26-30 (+ server.js)</t>
        </is>
      </c>
      <c r="E5" s="4" t="inlineStr">
        <is>
          <t>All rate-limited endpoints</t>
        </is>
      </c>
      <c r="F5" s="4" t="inlineStr">
        <is>
          <t>`_clientKey()` reads `req.headers['x-forwarded-for']` FIRST and only falls back to req.ip. Express `trust proxy` is never enabled, so that header is entirely client-controlled and unvalidated.</t>
        </is>
      </c>
      <c r="G5" s="4" t="inlineStr">
        <is>
          <t>The attacker sends a different X-Forwarded-For value on each request. Every request lands in a fresh bucket, so the limiter never triggers.</t>
        </is>
      </c>
      <c r="H5" s="4" t="inlineStr">
        <is>
          <t>Throttling is ineffective for unauthenticated callers, enabling brute force, mail-relay abuse (VH-003) and CPU exhaustion (VH-006).</t>
        </is>
      </c>
      <c r="I5" s="4" t="inlineStr">
        <is>
          <t>Enable `app.set('trust proxy', 1)` and use `req.ip` only, letting Express parse the proxy chain. Do not read the raw header. For multi-instance deployments move the buckets to a shared store.</t>
        </is>
      </c>
      <c r="J5" s="2" t="inlineStr">
        <is>
          <t>CONFIRMED-CODE</t>
        </is>
      </c>
    </row>
    <row r="6">
      <c r="A6" s="2" t="inlineStr">
        <is>
          <t>VH-005</t>
        </is>
      </c>
      <c r="B6" s="5" t="inlineStr">
        <is>
          <t>High</t>
        </is>
      </c>
      <c r="C6" s="2" t="inlineStr">
        <is>
          <t>Vulnerable Dependency (CVE)</t>
        </is>
      </c>
      <c r="D6" s="4" t="inlineStr">
        <is>
          <t>voicehire-backend/package.json</t>
        </is>
      </c>
      <c r="E6" s="4" t="inlineStr">
        <is>
          <t>POST /api/applications/send-email</t>
        </is>
      </c>
      <c r="F6" s="4" t="inlineStr">
        <is>
          <t>nodemailer is flagged by npm audit as HIGH: 'Email to an unintended domain can occur due to Interpretation Conflict'. The project exposes an unauthenticated endpoint that calls it.</t>
        </is>
      </c>
      <c r="G6" s="4" t="inlineStr">
        <is>
          <t>A crafted recipient string is parsed differently by the library than by the application's validation, so mail is delivered to a domain the application did not intend.</t>
        </is>
      </c>
      <c r="H6" s="4" t="inlineStr">
        <is>
          <t>Mail misdelivery, which combined with VH-003 lets an anonymous caller direct delivery to unintended domains.</t>
        </is>
      </c>
      <c r="I6" s="4" t="inlineStr">
        <is>
          <t>Run `npm audit fix`, upgrade nodemailer to the patched release, and add server-side recipient validation that is independent of the library's parser.</t>
        </is>
      </c>
      <c r="J6" s="2" t="inlineStr">
        <is>
          <t>CONFIRMED-SCAN</t>
        </is>
      </c>
    </row>
    <row r="7">
      <c r="A7" s="2" t="inlineStr">
        <is>
          <t>VH-006</t>
        </is>
      </c>
      <c r="B7" s="6" t="inlineStr">
        <is>
          <t>Medium</t>
        </is>
      </c>
      <c r="C7" s="2" t="inlineStr">
        <is>
          <t>Resource Exhaustion / DoS</t>
        </is>
      </c>
      <c r="D7" s="4" t="inlineStr">
        <is>
          <t>voicehire-backend/src/routes/applications.js:371</t>
        </is>
      </c>
      <c r="E7" s="4" t="inlineStr">
        <is>
          <t>POST /api/applications/generate-resume</t>
        </is>
      </c>
      <c r="F7" s="4" t="inlineStr">
        <is>
          <t>PDF generation via PDFKit runs for any anonymous caller with a caller-supplied profile object. Rate limited to 20/min, but that limit is bypassable per VH-004.</t>
        </is>
      </c>
      <c r="G7" s="4" t="inlineStr">
        <is>
          <t>The attacker submits large profile payloads (up to the 1 MB body limit) in a loop with rotating X-Forwarded-For headers, forcing continuous CPU-bound PDF rendering on a single-instance host.</t>
        </is>
      </c>
      <c r="H7" s="4" t="inlineStr">
        <is>
          <t>CPU exhaustion and denial of service for legitimate users; on Render's free tier this alone can make the service unresponsive.</t>
        </is>
      </c>
      <c r="I7" s="4" t="inlineStr">
        <is>
          <t>Require authentication, cap the payload well below 1 MB for this route, and fix the limiter key (VH-004). Consider queueing generation.</t>
        </is>
      </c>
      <c r="J7" s="2" t="inlineStr">
        <is>
          <t>CONFIRMED-CODE</t>
        </is>
      </c>
    </row>
    <row r="8">
      <c r="A8" s="2" t="inlineStr">
        <is>
          <t>VH-007</t>
        </is>
      </c>
      <c r="B8" s="6" t="inlineStr">
        <is>
          <t>Medium</t>
        </is>
      </c>
      <c r="C8" s="2" t="inlineStr">
        <is>
          <t>Missing Security Headers</t>
        </is>
      </c>
      <c r="D8" s="4" t="inlineStr">
        <is>
          <t>voicehire-backend/server.js:31-34</t>
        </is>
      </c>
      <c r="E8" s="4" t="inlineStr">
        <is>
          <t>ALL endpoints</t>
        </is>
      </c>
      <c r="F8" s="4" t="inlineStr">
        <is>
          <t>Four headers are set manually (X-Content-Type-Options, X-Frame-Options, Referrer-Policy, X-Permitted-Cross-Domain-Policies). Absent: Strict-Transport-Security, Content-Security-Policy, Permissions-Policy.</t>
        </is>
      </c>
      <c r="G8" s="4" t="inlineStr">
        <is>
          <t>Without HSTS a first request over plain HTTP can be intercepted and downgraded. Without a Permissions-Policy the page's microphone permission is not constrained for embedded content.</t>
        </is>
      </c>
      <c r="H8" s="4" t="inlineStr">
        <is>
          <t>Downgrade attacks on first contact; weaker defence in depth for any HTML the backend serves.</t>
        </is>
      </c>
      <c r="I8" s="4" t="inlineStr">
        <is>
          <t>Adopt `helmet` rather than hand-rolled headers, and enable HSTS (max-age &gt;= 31536000; includeSubDomains) plus a Permissions-Policy that restricts microphone to self.</t>
        </is>
      </c>
      <c r="J8" s="2" t="inlineStr">
        <is>
          <t>CONFIRMED-LIVE</t>
        </is>
      </c>
    </row>
    <row r="9">
      <c r="A9" s="2" t="inlineStr">
        <is>
          <t>VH-008</t>
        </is>
      </c>
      <c r="B9" s="6" t="inlineStr">
        <is>
          <t>Medium</t>
        </is>
      </c>
      <c r="C9" s="2" t="inlineStr">
        <is>
          <t>Insecure Design (Shared Mutable State)</t>
        </is>
      </c>
      <c r="D9" s="4" t="inlineStr">
        <is>
          <t>voicehire-backend/src/routes/tracker.js:5-6, notifications.js</t>
        </is>
      </c>
      <c r="E9" s="4" t="inlineStr">
        <is>
          <t>/api/tracker/*, /api/notifications/*</t>
        </is>
      </c>
      <c r="F9" s="4" t="inlineStr">
        <is>
          <t>State lives in process memory. Render runs multiple instances and recycles them; the data is neither shared nor durable, and it is seeded with hardcoded demo values (appliedCount: 2, 'ABC Technologies').</t>
        </is>
      </c>
      <c r="G9" s="4" t="inlineStr">
        <is>
          <t>Not an attack so much as a correctness failure that becomes a security problem: users may be shown another user's data, or fabricated data presented as their own record.</t>
        </is>
      </c>
      <c r="H9" s="4" t="inlineStr">
        <is>
          <t>Users cannot trust the tracker. For an application that reports whether a job application was really submitted, showing invented counts is a serious integrity issue.</t>
        </is>
      </c>
      <c r="I9" s="4" t="inlineStr">
        <is>
          <t>Move to RLS-protected Supabase tables scoped by user_id, and delete the hardcoded demo rows.</t>
        </is>
      </c>
      <c r="J9" s="2" t="inlineStr">
        <is>
          <t>CONFIRMED-LIVE</t>
        </is>
      </c>
    </row>
    <row r="10">
      <c r="A10" s="2" t="inlineStr">
        <is>
          <t>VH-009</t>
        </is>
      </c>
      <c r="B10" s="6" t="inlineStr">
        <is>
          <t>Medium</t>
        </is>
      </c>
      <c r="C10" s="2" t="inlineStr">
        <is>
          <t>Vulnerable Dependency (CVE)</t>
        </is>
      </c>
      <c r="D10" s="4" t="inlineStr">
        <is>
          <t>voicehire-backend/package-lock.json</t>
        </is>
      </c>
      <c r="E10" s="4" t="inlineStr">
        <is>
          <t>n/a</t>
        </is>
      </c>
      <c r="F10" s="4" t="inlineStr">
        <is>
          <t>brace-expansion (transitive) is flagged HIGH for denial of service via exponential-time expansion; uuid is flagged MODERATE for a missing buffer bounds check in v3/v5/v6 when a buffer is supplied.</t>
        </is>
      </c>
      <c r="G10" s="4" t="inlineStr">
        <is>
          <t>brace-expansion is reachable only through build/dev tooling here, so remote exploitation is unlikely; uuid is used for identifier generation without a caller-supplied buffer.</t>
        </is>
      </c>
      <c r="H10" s="4" t="inlineStr">
        <is>
          <t>Low practical impact in this codebase, but both are known CVEs that a dependency review will flag and that could become reachable after refactoring.</t>
        </is>
      </c>
      <c r="I10" s="4" t="inlineStr">
        <is>
          <t>Run `npm audit fix`. Pin the patched versions and re-run the audit in CI.</t>
        </is>
      </c>
      <c r="J10" s="2" t="inlineStr">
        <is>
          <t>CONFIRMED-SCAN</t>
        </is>
      </c>
    </row>
    <row r="11">
      <c r="A11" s="2" t="inlineStr">
        <is>
          <t>VH-010</t>
        </is>
      </c>
      <c r="B11" s="6" t="inlineStr">
        <is>
          <t>Medium</t>
        </is>
      </c>
      <c r="C11" s="2" t="inlineStr">
        <is>
          <t>Authentication Bypass Risk (opt-in)</t>
        </is>
      </c>
      <c r="D11" s="4" t="inlineStr">
        <is>
          <t>voicehire-backend/src/middleware/auth.js (ALLOW_LEGACY_AUTH)</t>
        </is>
      </c>
      <c r="E11" s="4" t="inlineStr">
        <is>
          <t>ALL authenticated endpoints</t>
        </is>
      </c>
      <c r="F11" s="4" t="inlineStr">
        <is>
          <t>When ALLOW_LEGACY_AUTH=true a self-issued HS256 JWT is accepted and req.supabase is set to the SERVICE-ROLE client, which bypasses RLS entirely for the whole request.</t>
        </is>
      </c>
      <c r="G11" s="4" t="inlineStr">
        <is>
          <t>If the flag is ever enabled in production and JWT_SECRET leaks or is weak, an attacker mints a token for any userId and operates with RLS disabled.</t>
        </is>
      </c>
      <c r="H11" s="4" t="inlineStr">
        <is>
          <t>Complete compromise of every user's data in that configuration.</t>
        </is>
      </c>
      <c r="I11" s="4" t="inlineStr">
        <is>
          <t>Keep the flag false in production and assert it at boot; log loudly if set. Plan removal now that clients use Supabase sign-in. Current default is safe.</t>
        </is>
      </c>
      <c r="J11" s="2" t="inlineStr">
        <is>
          <t>REVIEW-ONLY</t>
        </is>
      </c>
    </row>
    <row r="12">
      <c r="A12" s="2" t="inlineStr">
        <is>
          <t>VH-011</t>
        </is>
      </c>
      <c r="B12" s="7" t="inlineStr">
        <is>
          <t>Low</t>
        </is>
      </c>
      <c r="C12" s="2" t="inlineStr">
        <is>
          <t>Information Disclosure (non-production)</t>
        </is>
      </c>
      <c r="D12" s="4" t="inlineStr">
        <is>
          <t>voicehire-backend/server.js:109</t>
        </is>
      </c>
      <c r="E12" s="4" t="inlineStr">
        <is>
          <t>ALL endpoints</t>
        </is>
      </c>
      <c r="F12" s="4" t="inlineStr">
        <is>
          <t>When NODE_ENV !== 'production' the error handler logs a redacted shape of the request body. The redaction helper is applied, so values are not printed, but the field names of failing requests are.</t>
        </is>
      </c>
      <c r="G12" s="4" t="inlineStr">
        <is>
          <t>An operator with log access learns which fields were present on a failing request. Low value on its own.</t>
        </is>
      </c>
      <c r="H12" s="4" t="inlineStr">
        <is>
          <t>Minor metadata disclosure limited to non-production environments.</t>
        </is>
      </c>
      <c r="I12" s="4" t="inlineStr">
        <is>
          <t>Acceptable as designed. Ensure NODE_ENV=production is set on every deployed environment; it currently is in render.yaml.</t>
        </is>
      </c>
      <c r="J12" s="2" t="inlineStr">
        <is>
          <t>REVIEW-ONLY</t>
        </is>
      </c>
    </row>
    <row r="13">
      <c r="A13" s="2" t="inlineStr">
        <is>
          <t>VH-012</t>
        </is>
      </c>
      <c r="B13" s="7" t="inlineStr">
        <is>
          <t>Low</t>
        </is>
      </c>
      <c r="C13" s="2" t="inlineStr">
        <is>
          <t>Missing Audit Trail</t>
        </is>
      </c>
      <c r="D13" s="4" t="inlineStr">
        <is>
          <t>voicehire-backend/server.js</t>
        </is>
      </c>
      <c r="E13" s="4" t="inlineStr">
        <is>
          <t>ALL endpoints</t>
        </is>
      </c>
      <c r="F13" s="4" t="inlineStr">
        <is>
          <t>There is no request id, and no audit log of security-relevant events (sign-in, account linking, application submission, deletion).</t>
        </is>
      </c>
      <c r="G13" s="4" t="inlineStr">
        <is>
          <t>After an incident there is no reliable way to reconstruct who did what.</t>
        </is>
      </c>
      <c r="H13" s="4" t="inlineStr">
        <is>
          <t>Impedes incident response and forensics.</t>
        </is>
      </c>
      <c r="I13" s="4" t="inlineStr">
        <is>
          <t>Add a request-id middleware and structured audit logging for auth and write operations, excluding payload values.</t>
        </is>
      </c>
      <c r="J13" s="2" t="inlineStr">
        <is>
          <t>REVIEW-ONLY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24" customWidth="1" min="3" max="3"/>
    <col width="15" customWidth="1" min="4" max="4"/>
    <col width="40" customWidth="1" min="5" max="5"/>
    <col width="34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File Path</t>
        </is>
      </c>
      <c r="F1" s="1" t="inlineStr">
        <is>
          <t>Security Note</t>
        </is>
      </c>
    </row>
    <row r="2">
      <c r="A2" s="2" t="inlineStr">
        <is>
          <t>/api/auth/session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src/routes/auth.js:45</t>
        </is>
      </c>
      <c r="F2" s="4" t="inlineStr">
        <is>
          <t>Exchanges a verified Supabase token for a session</t>
        </is>
      </c>
    </row>
    <row r="3">
      <c r="A3" s="2" t="inlineStr">
        <is>
          <t>/api/auth/me</t>
        </is>
      </c>
      <c r="B3" s="2" t="inlineStr">
        <is>
          <t>GET</t>
        </is>
      </c>
      <c r="C3" s="2" t="inlineStr">
        <is>
          <t>Yes</t>
        </is>
      </c>
      <c r="D3" s="2" t="inlineStr">
        <is>
          <t>user</t>
        </is>
      </c>
      <c r="E3" s="2" t="inlineStr">
        <is>
          <t>src/routes/auth.js:149</t>
        </is>
      </c>
      <c r="F3" s="4" t="inlineStr"/>
    </row>
    <row r="4">
      <c r="A4" s="2" t="inlineStr">
        <is>
          <t>/api/auth/register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src/routes/auth.js:220</t>
        </is>
      </c>
      <c r="F4" s="4" t="inlineStr">
        <is>
          <t>410 Gone unless ALLOW_LEGACY_AUTH</t>
        </is>
      </c>
    </row>
    <row r="5">
      <c r="A5" s="2" t="inlineStr">
        <is>
          <t>/api/auth/login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src/routes/auth.js:221</t>
        </is>
      </c>
      <c r="F5" s="4" t="inlineStr">
        <is>
          <t>410 Gone unless ALLOW_LEGACY_AUTH</t>
        </is>
      </c>
    </row>
    <row r="6">
      <c r="A6" s="2" t="inlineStr">
        <is>
          <t>/api/auth/logout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src/routes/auth.js:226</t>
        </is>
      </c>
      <c r="F6" s="4" t="inlineStr"/>
    </row>
    <row r="7">
      <c r="A7" s="2" t="inlineStr">
        <is>
          <t>/api/profile</t>
        </is>
      </c>
      <c r="B7" s="2" t="inlineStr">
        <is>
          <t>GET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src/routes/profile.js:125</t>
        </is>
      </c>
      <c r="F7" s="4" t="inlineStr"/>
    </row>
    <row r="8">
      <c r="A8" s="2" t="inlineStr">
        <is>
          <t>/api/profile</t>
        </is>
      </c>
      <c r="B8" s="2" t="inlineStr">
        <is>
          <t>POST</t>
        </is>
      </c>
      <c r="C8" s="2" t="inlineStr">
        <is>
          <t>Yes</t>
        </is>
      </c>
      <c r="D8" s="2" t="inlineStr">
        <is>
          <t>user</t>
        </is>
      </c>
      <c r="E8" s="2" t="inlineStr">
        <is>
          <t>src/routes/profile.js:154</t>
        </is>
      </c>
      <c r="F8" s="4" t="inlineStr"/>
    </row>
    <row r="9">
      <c r="A9" s="2" t="inlineStr">
        <is>
          <t>/api/profile</t>
        </is>
      </c>
      <c r="B9" s="2" t="inlineStr">
        <is>
          <t>PATCH</t>
        </is>
      </c>
      <c r="C9" s="2" t="inlineStr">
        <is>
          <t>Yes</t>
        </is>
      </c>
      <c r="D9" s="2" t="inlineStr">
        <is>
          <t>user</t>
        </is>
      </c>
      <c r="E9" s="2" t="inlineStr">
        <is>
          <t>src/routes/profile.js:194</t>
        </is>
      </c>
      <c r="F9" s="4" t="inlineStr"/>
    </row>
    <row r="10">
      <c r="A10" s="2" t="inlineStr">
        <is>
          <t>/api/graph</t>
        </is>
      </c>
      <c r="B10" s="2" t="inlineStr">
        <is>
          <t>GET</t>
        </is>
      </c>
      <c r="C10" s="2" t="inlineStr">
        <is>
          <t>Yes</t>
        </is>
      </c>
      <c r="D10" s="2" t="inlineStr">
        <is>
          <t>user</t>
        </is>
      </c>
      <c r="E10" s="2" t="inlineStr">
        <is>
          <t>src/routes/graph.js:56</t>
        </is>
      </c>
      <c r="F10" s="4" t="inlineStr">
        <is>
          <t>Knowledge graph snapshot</t>
        </is>
      </c>
    </row>
    <row r="11">
      <c r="A11" s="2" t="inlineStr">
        <is>
          <t>/api/graph</t>
        </is>
      </c>
      <c r="B11" s="2" t="inlineStr">
        <is>
          <t>PUT</t>
        </is>
      </c>
      <c r="C11" s="2" t="inlineStr">
        <is>
          <t>Yes</t>
        </is>
      </c>
      <c r="D11" s="2" t="inlineStr">
        <is>
          <t>user</t>
        </is>
      </c>
      <c r="E11" s="2" t="inlineStr">
        <is>
          <t>src/routes/graph.js:96</t>
        </is>
      </c>
      <c r="F11" s="4" t="inlineStr"/>
    </row>
    <row r="12">
      <c r="A12" s="2" t="inlineStr">
        <is>
          <t>/api/graph/backup</t>
        </is>
      </c>
      <c r="B12" s="2" t="inlineStr">
        <is>
          <t>POST</t>
        </is>
      </c>
      <c r="C12" s="2" t="inlineStr">
        <is>
          <t>Yes</t>
        </is>
      </c>
      <c r="D12" s="2" t="inlineStr">
        <is>
          <t>user</t>
        </is>
      </c>
      <c r="E12" s="2" t="inlineStr">
        <is>
          <t>src/routes/graph.js:177</t>
        </is>
      </c>
      <c r="F12" s="4" t="inlineStr"/>
    </row>
    <row r="13">
      <c r="A13" s="2" t="inlineStr">
        <is>
          <t>/api/graph/backups</t>
        </is>
      </c>
      <c r="B13" s="2" t="inlineStr">
        <is>
          <t>GET</t>
        </is>
      </c>
      <c r="C13" s="2" t="inlineStr">
        <is>
          <t>Yes</t>
        </is>
      </c>
      <c r="D13" s="2" t="inlineStr">
        <is>
          <t>user</t>
        </is>
      </c>
      <c r="E13" s="2" t="inlineStr">
        <is>
          <t>src/routes/graph.js:222</t>
        </is>
      </c>
      <c r="F13" s="4" t="inlineStr"/>
    </row>
    <row r="14">
      <c r="A14" s="2" t="inlineStr">
        <is>
          <t>/api/graph/backup/:id</t>
        </is>
      </c>
      <c r="B14" s="2" t="inlineStr">
        <is>
          <t>GET</t>
        </is>
      </c>
      <c r="C14" s="2" t="inlineStr">
        <is>
          <t>Yes</t>
        </is>
      </c>
      <c r="D14" s="2" t="inlineStr">
        <is>
          <t>user</t>
        </is>
      </c>
      <c r="E14" s="2" t="inlineStr">
        <is>
          <t>src/routes/graph.js:249</t>
        </is>
      </c>
      <c r="F14" s="4" t="inlineStr">
        <is>
          <t>Verify ownership of :id</t>
        </is>
      </c>
    </row>
    <row r="15">
      <c r="A15" s="2" t="inlineStr">
        <is>
          <t>/api/graph</t>
        </is>
      </c>
      <c r="B15" s="2" t="inlineStr">
        <is>
          <t>DELETE</t>
        </is>
      </c>
      <c r="C15" s="2" t="inlineStr">
        <is>
          <t>Yes</t>
        </is>
      </c>
      <c r="D15" s="2" t="inlineStr">
        <is>
          <t>user</t>
        </is>
      </c>
      <c r="E15" s="2" t="inlineStr">
        <is>
          <t>src/routes/graph.js:272</t>
        </is>
      </c>
      <c r="F15" s="4" t="inlineStr"/>
    </row>
    <row r="16">
      <c r="A16" s="2" t="inlineStr">
        <is>
          <t>/api/conversation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user</t>
        </is>
      </c>
      <c r="E16" s="2" t="inlineStr">
        <is>
          <t>src/routes/conversation.js:11</t>
        </is>
      </c>
      <c r="F16" s="4" t="inlineStr"/>
    </row>
    <row r="17">
      <c r="A17" s="2" t="inlineStr">
        <is>
          <t>/api/conversation</t>
        </is>
      </c>
      <c r="B17" s="2" t="inlineStr">
        <is>
          <t>POST</t>
        </is>
      </c>
      <c r="C17" s="2" t="inlineStr">
        <is>
          <t>Yes</t>
        </is>
      </c>
      <c r="D17" s="2" t="inlineStr">
        <is>
          <t>user</t>
        </is>
      </c>
      <c r="E17" s="2" t="inlineStr">
        <is>
          <t>src/routes/conversation.js:43</t>
        </is>
      </c>
      <c r="F17" s="4" t="inlineStr"/>
    </row>
    <row r="18">
      <c r="A18" s="2" t="inlineStr">
        <is>
          <t>/api/conversation/bulk</t>
        </is>
      </c>
      <c r="B18" s="2" t="inlineStr">
        <is>
          <t>POST</t>
        </is>
      </c>
      <c r="C18" s="2" t="inlineStr">
        <is>
          <t>Yes</t>
        </is>
      </c>
      <c r="D18" s="2" t="inlineStr">
        <is>
          <t>user</t>
        </is>
      </c>
      <c r="E18" s="2" t="inlineStr">
        <is>
          <t>src/routes/conversation.js:84</t>
        </is>
      </c>
      <c r="F18" s="4" t="inlineStr"/>
    </row>
    <row r="19">
      <c r="A19" s="2" t="inlineStr">
        <is>
          <t>/api/conversation</t>
        </is>
      </c>
      <c r="B19" s="2" t="inlineStr">
        <is>
          <t>DELETE</t>
        </is>
      </c>
      <c r="C19" s="2" t="inlineStr">
        <is>
          <t>Yes</t>
        </is>
      </c>
      <c r="D19" s="2" t="inlineStr">
        <is>
          <t>user</t>
        </is>
      </c>
      <c r="E19" s="2" t="inlineStr">
        <is>
          <t>src/routes/conversation.js:129</t>
        </is>
      </c>
      <c r="F19" s="4" t="inlineStr"/>
    </row>
    <row r="20">
      <c r="A20" s="2" t="inlineStr">
        <is>
          <t>/api/applications</t>
        </is>
      </c>
      <c r="B20" s="2" t="inlineStr">
        <is>
          <t>POST</t>
        </is>
      </c>
      <c r="C20" s="2" t="inlineStr">
        <is>
          <t>Yes</t>
        </is>
      </c>
      <c r="D20" s="2" t="inlineStr">
        <is>
          <t>user</t>
        </is>
      </c>
      <c r="E20" s="2" t="inlineStr">
        <is>
          <t>src/routes/applications.js:56</t>
        </is>
      </c>
      <c r="F20" s="4" t="inlineStr"/>
    </row>
    <row r="21">
      <c r="A21" s="2" t="inlineStr">
        <is>
          <t>/api/applications/analytics</t>
        </is>
      </c>
      <c r="B21" s="2" t="inlineStr">
        <is>
          <t>GET</t>
        </is>
      </c>
      <c r="C21" s="2" t="inlineStr">
        <is>
          <t>Yes</t>
        </is>
      </c>
      <c r="D21" s="2" t="inlineStr">
        <is>
          <t>user</t>
        </is>
      </c>
      <c r="E21" s="2" t="inlineStr">
        <is>
          <t>src/routes/applications.js:128</t>
        </is>
      </c>
      <c r="F21" s="4" t="inlineStr"/>
    </row>
    <row r="22">
      <c r="A22" s="2" t="inlineStr">
        <is>
          <t>/api/applications</t>
        </is>
      </c>
      <c r="B22" s="2" t="inlineStr">
        <is>
          <t>GET</t>
        </is>
      </c>
      <c r="C22" s="2" t="inlineStr">
        <is>
          <t>Yes</t>
        </is>
      </c>
      <c r="D22" s="2" t="inlineStr">
        <is>
          <t>user</t>
        </is>
      </c>
      <c r="E22" s="2" t="inlineStr">
        <is>
          <t>src/routes/applications.js:174</t>
        </is>
      </c>
      <c r="F22" s="4" t="inlineStr"/>
    </row>
    <row r="23">
      <c r="A23" s="2" t="inlineStr">
        <is>
          <t>/api/applications/:id</t>
        </is>
      </c>
      <c r="B23" s="2" t="inlineStr">
        <is>
          <t>GET</t>
        </is>
      </c>
      <c r="C23" s="2" t="inlineStr">
        <is>
          <t>Yes</t>
        </is>
      </c>
      <c r="D23" s="2" t="inlineStr">
        <is>
          <t>user</t>
        </is>
      </c>
      <c r="E23" s="2" t="inlineStr">
        <is>
          <t>src/routes/applications.js:198</t>
        </is>
      </c>
      <c r="F23" s="4" t="inlineStr">
        <is>
          <t>Verify ownership of :id</t>
        </is>
      </c>
    </row>
    <row r="24">
      <c r="A24" s="2" t="inlineStr">
        <is>
          <t>/api/applications/:id/status</t>
        </is>
      </c>
      <c r="B24" s="2" t="inlineStr">
        <is>
          <t>PATCH</t>
        </is>
      </c>
      <c r="C24" s="2" t="inlineStr">
        <is>
          <t>Yes</t>
        </is>
      </c>
      <c r="D24" s="2" t="inlineStr">
        <is>
          <t>user</t>
        </is>
      </c>
      <c r="E24" s="2" t="inlineStr">
        <is>
          <t>src/routes/applications.js:225</t>
        </is>
      </c>
      <c r="F24" s="4" t="inlineStr">
        <is>
          <t>Verify ownership of :id</t>
        </is>
      </c>
    </row>
    <row r="25">
      <c r="A25" s="2" t="inlineStr">
        <is>
          <t>/api/applications/send-email</t>
        </is>
      </c>
      <c r="B25" s="2" t="inlineStr">
        <is>
          <t>POST</t>
        </is>
      </c>
      <c r="C25" s="5" t="inlineStr">
        <is>
          <t>NO</t>
        </is>
      </c>
      <c r="D25" s="2" t="inlineStr">
        <is>
          <t>public</t>
        </is>
      </c>
      <c r="E25" s="2" t="inlineStr">
        <is>
          <t>src/routes/applications.js:277</t>
        </is>
      </c>
      <c r="F25" s="4" t="inlineStr">
        <is>
          <t>VH-003 mail relay</t>
        </is>
      </c>
    </row>
    <row r="26">
      <c r="A26" s="2" t="inlineStr">
        <is>
          <t>/api/applications/generate-resume</t>
        </is>
      </c>
      <c r="B26" s="2" t="inlineStr">
        <is>
          <t>POST</t>
        </is>
      </c>
      <c r="C26" s="5" t="inlineStr">
        <is>
          <t>NO</t>
        </is>
      </c>
      <c r="D26" s="2" t="inlineStr">
        <is>
          <t>public</t>
        </is>
      </c>
      <c r="E26" s="2" t="inlineStr">
        <is>
          <t>src/routes/applications.js:371</t>
        </is>
      </c>
      <c r="F26" s="4" t="inlineStr">
        <is>
          <t>VH-006 CPU DoS</t>
        </is>
      </c>
    </row>
    <row r="27">
      <c r="A27" s="2" t="inlineStr">
        <is>
          <t>/api/apply</t>
        </is>
      </c>
      <c r="B27" s="2" t="inlineStr">
        <is>
          <t>POST</t>
        </is>
      </c>
      <c r="C27" s="2" t="inlineStr">
        <is>
          <t>Yes</t>
        </is>
      </c>
      <c r="D27" s="2" t="inlineStr">
        <is>
          <t>user</t>
        </is>
      </c>
      <c r="E27" s="2" t="inlineStr">
        <is>
          <t>src/routes/apply.js:247</t>
        </is>
      </c>
      <c r="F27" s="4" t="inlineStr"/>
    </row>
    <row r="28">
      <c r="A28" s="2" t="inlineStr">
        <is>
          <t>/api/jobs/companies</t>
        </is>
      </c>
      <c r="B28" s="2" t="inlineStr">
        <is>
          <t>GET</t>
        </is>
      </c>
      <c r="C28" s="2" t="inlineStr">
        <is>
          <t>No</t>
        </is>
      </c>
      <c r="D28" s="2" t="inlineStr">
        <is>
          <t>public</t>
        </is>
      </c>
      <c r="E28" s="2" t="inlineStr">
        <is>
          <t>src/routes/jobs.js:83</t>
        </is>
      </c>
      <c r="F28" s="4" t="inlineStr">
        <is>
          <t>Reference data</t>
        </is>
      </c>
    </row>
    <row r="29">
      <c r="A29" s="2" t="inlineStr">
        <is>
          <t>/api/jobs</t>
        </is>
      </c>
      <c r="B29" s="2" t="inlineStr">
        <is>
          <t>GET</t>
        </is>
      </c>
      <c r="C29" s="2" t="inlineStr">
        <is>
          <t>No</t>
        </is>
      </c>
      <c r="D29" s="2" t="inlineStr">
        <is>
          <t>public</t>
        </is>
      </c>
      <c r="E29" s="2" t="inlineStr">
        <is>
          <t>src/routes/jobs.js:95</t>
        </is>
      </c>
      <c r="F29" s="4" t="inlineStr">
        <is>
          <t>Reference data</t>
        </is>
      </c>
    </row>
    <row r="30">
      <c r="A30" s="2" t="inlineStr">
        <is>
          <t>/api/jobs/search</t>
        </is>
      </c>
      <c r="B30" s="2" t="inlineStr">
        <is>
          <t>GET</t>
        </is>
      </c>
      <c r="C30" s="2" t="inlineStr">
        <is>
          <t>No</t>
        </is>
      </c>
      <c r="D30" s="2" t="inlineStr">
        <is>
          <t>public</t>
        </is>
      </c>
      <c r="E30" s="2" t="inlineStr">
        <is>
          <t>src/routes/jobs.js:96</t>
        </is>
      </c>
      <c r="F30" s="4" t="inlineStr">
        <is>
          <t>Reference data</t>
        </is>
      </c>
    </row>
    <row r="31">
      <c r="A31" s="2" t="inlineStr">
        <is>
          <t>/api/jobs/ai</t>
        </is>
      </c>
      <c r="B31" s="2" t="inlineStr">
        <is>
          <t>POST</t>
        </is>
      </c>
      <c r="C31" s="5" t="inlineStr">
        <is>
          <t>NO</t>
        </is>
      </c>
      <c r="D31" s="2" t="inlineStr">
        <is>
          <t>public</t>
        </is>
      </c>
      <c r="E31" s="2" t="inlineStr">
        <is>
          <t>src/routes/jobs.js:124</t>
        </is>
      </c>
      <c r="F31" s="4" t="inlineStr">
        <is>
          <t>LLM proxy - cost abuse risk</t>
        </is>
      </c>
    </row>
    <row r="32">
      <c r="A32" s="2" t="inlineStr">
        <is>
          <t>/api/jobs/intent</t>
        </is>
      </c>
      <c r="B32" s="2" t="inlineStr">
        <is>
          <t>POST</t>
        </is>
      </c>
      <c r="C32" s="5" t="inlineStr">
        <is>
          <t>NO</t>
        </is>
      </c>
      <c r="D32" s="2" t="inlineStr">
        <is>
          <t>public</t>
        </is>
      </c>
      <c r="E32" s="2" t="inlineStr">
        <is>
          <t>src/routes/jobs.js:206</t>
        </is>
      </c>
      <c r="F32" s="4" t="inlineStr">
        <is>
          <t>LLM proxy - cost abuse risk</t>
        </is>
      </c>
    </row>
    <row r="33">
      <c r="A33" s="2" t="inlineStr">
        <is>
          <t>/api/jobs/save</t>
        </is>
      </c>
      <c r="B33" s="2" t="inlineStr">
        <is>
          <t>POST</t>
        </is>
      </c>
      <c r="C33" s="2" t="inlineStr">
        <is>
          <t>Yes</t>
        </is>
      </c>
      <c r="D33" s="2" t="inlineStr">
        <is>
          <t>user</t>
        </is>
      </c>
      <c r="E33" s="2" t="inlineStr">
        <is>
          <t>src/routes/jobs.js:251</t>
        </is>
      </c>
      <c r="F33" s="4" t="inlineStr"/>
    </row>
    <row r="34">
      <c r="A34" s="2" t="inlineStr">
        <is>
          <t>/api/jobs/save/:id</t>
        </is>
      </c>
      <c r="B34" s="2" t="inlineStr">
        <is>
          <t>DELETE</t>
        </is>
      </c>
      <c r="C34" s="2" t="inlineStr">
        <is>
          <t>Yes</t>
        </is>
      </c>
      <c r="D34" s="2" t="inlineStr">
        <is>
          <t>user</t>
        </is>
      </c>
      <c r="E34" s="2" t="inlineStr">
        <is>
          <t>src/routes/jobs.js:287</t>
        </is>
      </c>
      <c r="F34" s="4" t="inlineStr"/>
    </row>
    <row r="35">
      <c r="A35" s="2" t="inlineStr">
        <is>
          <t>/api/jobs/saved</t>
        </is>
      </c>
      <c r="B35" s="2" t="inlineStr">
        <is>
          <t>GET</t>
        </is>
      </c>
      <c r="C35" s="2" t="inlineStr">
        <is>
          <t>Yes</t>
        </is>
      </c>
      <c r="D35" s="2" t="inlineStr">
        <is>
          <t>user</t>
        </is>
      </c>
      <c r="E35" s="2" t="inlineStr">
        <is>
          <t>src/routes/jobs.js:315</t>
        </is>
      </c>
      <c r="F35" s="4" t="inlineStr"/>
    </row>
    <row r="36">
      <c r="A36" s="2" t="inlineStr">
        <is>
          <t>/api/matching/analyze</t>
        </is>
      </c>
      <c r="B36" s="2" t="inlineStr">
        <is>
          <t>POST</t>
        </is>
      </c>
      <c r="C36" s="5" t="inlineStr">
        <is>
          <t>NO</t>
        </is>
      </c>
      <c r="D36" s="2" t="inlineStr">
        <is>
          <t>public</t>
        </is>
      </c>
      <c r="E36" s="2" t="inlineStr">
        <is>
          <t>src/routes/matching.js:30</t>
        </is>
      </c>
      <c r="F36" s="4" t="inlineStr"/>
    </row>
    <row r="37">
      <c r="A37" s="2" t="inlineStr">
        <is>
          <t>/api/matching</t>
        </is>
      </c>
      <c r="B37" s="2" t="inlineStr">
        <is>
          <t>GET</t>
        </is>
      </c>
      <c r="C37" s="5" t="inlineStr">
        <is>
          <t>NO</t>
        </is>
      </c>
      <c r="D37" s="2" t="inlineStr">
        <is>
          <t>public</t>
        </is>
      </c>
      <c r="E37" s="2" t="inlineStr">
        <is>
          <t>src/routes/matching.js:65</t>
        </is>
      </c>
      <c r="F37" s="4" t="inlineStr"/>
    </row>
    <row r="38">
      <c r="A38" s="2" t="inlineStr">
        <is>
          <t>/api/matching/recommendations</t>
        </is>
      </c>
      <c r="B38" s="2" t="inlineStr">
        <is>
          <t>GET</t>
        </is>
      </c>
      <c r="C38" s="5" t="inlineStr">
        <is>
          <t>NO</t>
        </is>
      </c>
      <c r="D38" s="2" t="inlineStr">
        <is>
          <t>public</t>
        </is>
      </c>
      <c r="E38" s="2" t="inlineStr">
        <is>
          <t>src/routes/matching.js:86</t>
        </is>
      </c>
      <c r="F38" s="4" t="inlineStr"/>
    </row>
    <row r="39">
      <c r="A39" s="2" t="inlineStr">
        <is>
          <t>/api/matching/:jobId</t>
        </is>
      </c>
      <c r="B39" s="2" t="inlineStr">
        <is>
          <t>GET</t>
        </is>
      </c>
      <c r="C39" s="5" t="inlineStr">
        <is>
          <t>NO</t>
        </is>
      </c>
      <c r="D39" s="2" t="inlineStr">
        <is>
          <t>public</t>
        </is>
      </c>
      <c r="E39" s="2" t="inlineStr">
        <is>
          <t>src/routes/matching.js:107</t>
        </is>
      </c>
      <c r="F39" s="4" t="inlineStr"/>
    </row>
    <row r="40">
      <c r="A40" s="2" t="inlineStr">
        <is>
          <t>/api/tracker/dashboard</t>
        </is>
      </c>
      <c r="B40" s="2" t="inlineStr">
        <is>
          <t>GET</t>
        </is>
      </c>
      <c r="C40" s="5" t="inlineStr">
        <is>
          <t>NO</t>
        </is>
      </c>
      <c r="D40" s="2" t="inlineStr">
        <is>
          <t>public</t>
        </is>
      </c>
      <c r="E40" s="2" t="inlineStr">
        <is>
          <t>src/routes/tracker.js:23</t>
        </is>
      </c>
      <c r="F40" s="4" t="inlineStr">
        <is>
          <t>VH-002</t>
        </is>
      </c>
    </row>
    <row r="41">
      <c r="A41" s="2" t="inlineStr">
        <is>
          <t>/api/tracker/saved</t>
        </is>
      </c>
      <c r="B41" s="2" t="inlineStr">
        <is>
          <t>GET</t>
        </is>
      </c>
      <c r="C41" s="5" t="inlineStr">
        <is>
          <t>NO</t>
        </is>
      </c>
      <c r="D41" s="2" t="inlineStr">
        <is>
          <t>public</t>
        </is>
      </c>
      <c r="E41" s="2" t="inlineStr">
        <is>
          <t>src/routes/tracker.js:52</t>
        </is>
      </c>
      <c r="F41" s="4" t="inlineStr">
        <is>
          <t>VH-002</t>
        </is>
      </c>
    </row>
    <row r="42">
      <c r="A42" s="2" t="inlineStr">
        <is>
          <t>/api/tracker/saved/:id</t>
        </is>
      </c>
      <c r="B42" s="2" t="inlineStr">
        <is>
          <t>DELETE</t>
        </is>
      </c>
      <c r="C42" s="5" t="inlineStr">
        <is>
          <t>NO</t>
        </is>
      </c>
      <c r="D42" s="2" t="inlineStr">
        <is>
          <t>public</t>
        </is>
      </c>
      <c r="E42" s="2" t="inlineStr">
        <is>
          <t>src/routes/tracker.js:65</t>
        </is>
      </c>
      <c r="F42" s="4" t="inlineStr">
        <is>
          <t>VH-002 anonymous delete</t>
        </is>
      </c>
    </row>
    <row r="43">
      <c r="A43" s="2" t="inlineStr">
        <is>
          <t>/api/tracker/interviews</t>
        </is>
      </c>
      <c r="B43" s="2" t="inlineStr">
        <is>
          <t>GET</t>
        </is>
      </c>
      <c r="C43" s="5" t="inlineStr">
        <is>
          <t>NO</t>
        </is>
      </c>
      <c r="D43" s="2" t="inlineStr">
        <is>
          <t>public</t>
        </is>
      </c>
      <c r="E43" s="2" t="inlineStr">
        <is>
          <t>src/routes/tracker.js:79</t>
        </is>
      </c>
      <c r="F43" s="4" t="inlineStr">
        <is>
          <t>VH-002</t>
        </is>
      </c>
    </row>
    <row r="44">
      <c r="A44" s="2" t="inlineStr">
        <is>
          <t>/api/tracker/offers</t>
        </is>
      </c>
      <c r="B44" s="2" t="inlineStr">
        <is>
          <t>GET</t>
        </is>
      </c>
      <c r="C44" s="5" t="inlineStr">
        <is>
          <t>NO</t>
        </is>
      </c>
      <c r="D44" s="2" t="inlineStr">
        <is>
          <t>public</t>
        </is>
      </c>
      <c r="E44" s="2" t="inlineStr">
        <is>
          <t>src/routes/tracker.js:102</t>
        </is>
      </c>
      <c r="F44" s="4" t="inlineStr">
        <is>
          <t>VH-002</t>
        </is>
      </c>
    </row>
    <row r="45">
      <c r="A45" s="2" t="inlineStr">
        <is>
          <t>/api/tracker/rejected</t>
        </is>
      </c>
      <c r="B45" s="2" t="inlineStr">
        <is>
          <t>GET</t>
        </is>
      </c>
      <c r="C45" s="5" t="inlineStr">
        <is>
          <t>NO</t>
        </is>
      </c>
      <c r="D45" s="2" t="inlineStr">
        <is>
          <t>public</t>
        </is>
      </c>
      <c r="E45" s="2" t="inlineStr">
        <is>
          <t>src/routes/tracker.js:113</t>
        </is>
      </c>
      <c r="F45" s="4" t="inlineStr">
        <is>
          <t>VH-002</t>
        </is>
      </c>
    </row>
    <row r="46">
      <c r="A46" s="2" t="inlineStr">
        <is>
          <t>/api/tracker/analytics</t>
        </is>
      </c>
      <c r="B46" s="2" t="inlineStr">
        <is>
          <t>GET</t>
        </is>
      </c>
      <c r="C46" s="5" t="inlineStr">
        <is>
          <t>NO</t>
        </is>
      </c>
      <c r="D46" s="2" t="inlineStr">
        <is>
          <t>public</t>
        </is>
      </c>
      <c r="E46" s="2" t="inlineStr">
        <is>
          <t>src/routes/tracker.js:130</t>
        </is>
      </c>
      <c r="F46" s="4" t="inlineStr">
        <is>
          <t>VH-002</t>
        </is>
      </c>
    </row>
    <row r="47">
      <c r="A47" s="2" t="inlineStr">
        <is>
          <t>/api/tracker/reminder</t>
        </is>
      </c>
      <c r="B47" s="2" t="inlineStr">
        <is>
          <t>POST</t>
        </is>
      </c>
      <c r="C47" s="5" t="inlineStr">
        <is>
          <t>NO</t>
        </is>
      </c>
      <c r="D47" s="2" t="inlineStr">
        <is>
          <t>public</t>
        </is>
      </c>
      <c r="E47" s="2" t="inlineStr">
        <is>
          <t>src/routes/tracker.js:153</t>
        </is>
      </c>
      <c r="F47" s="4" t="inlineStr">
        <is>
          <t>VH-002 anonymous write</t>
        </is>
      </c>
    </row>
    <row r="48">
      <c r="A48" s="2" t="inlineStr">
        <is>
          <t>/api/notifications</t>
        </is>
      </c>
      <c r="B48" s="2" t="inlineStr">
        <is>
          <t>GET</t>
        </is>
      </c>
      <c r="C48" s="5" t="inlineStr">
        <is>
          <t>NO</t>
        </is>
      </c>
      <c r="D48" s="2" t="inlineStr">
        <is>
          <t>public</t>
        </is>
      </c>
      <c r="E48" s="2" t="inlineStr">
        <is>
          <t>src/routes/notifications.js:52</t>
        </is>
      </c>
      <c r="F48" s="4" t="inlineStr">
        <is>
          <t>VH-002</t>
        </is>
      </c>
    </row>
    <row r="49">
      <c r="A49" s="2" t="inlineStr">
        <is>
          <t>/api/notifications/unread</t>
        </is>
      </c>
      <c r="B49" s="2" t="inlineStr">
        <is>
          <t>GET</t>
        </is>
      </c>
      <c r="C49" s="5" t="inlineStr">
        <is>
          <t>NO</t>
        </is>
      </c>
      <c r="D49" s="2" t="inlineStr">
        <is>
          <t>public</t>
        </is>
      </c>
      <c r="E49" s="2" t="inlineStr">
        <is>
          <t>src/routes/notifications.js:69</t>
        </is>
      </c>
      <c r="F49" s="4" t="inlineStr">
        <is>
          <t>VH-002</t>
        </is>
      </c>
    </row>
    <row r="50">
      <c r="A50" s="2" t="inlineStr">
        <is>
          <t>/api/notifications/daily</t>
        </is>
      </c>
      <c r="B50" s="2" t="inlineStr">
        <is>
          <t>GET</t>
        </is>
      </c>
      <c r="C50" s="5" t="inlineStr">
        <is>
          <t>NO</t>
        </is>
      </c>
      <c r="D50" s="2" t="inlineStr">
        <is>
          <t>public</t>
        </is>
      </c>
      <c r="E50" s="2" t="inlineStr">
        <is>
          <t>src/routes/notifications.js:85</t>
        </is>
      </c>
      <c r="F50" s="4" t="inlineStr">
        <is>
          <t>VH-002</t>
        </is>
      </c>
    </row>
    <row r="51">
      <c r="A51" s="2" t="inlineStr">
        <is>
          <t>/api/notifications/weekly</t>
        </is>
      </c>
      <c r="B51" s="2" t="inlineStr">
        <is>
          <t>GET</t>
        </is>
      </c>
      <c r="C51" s="5" t="inlineStr">
        <is>
          <t>NO</t>
        </is>
      </c>
      <c r="D51" s="2" t="inlineStr">
        <is>
          <t>public</t>
        </is>
      </c>
      <c r="E51" s="2" t="inlineStr">
        <is>
          <t>src/routes/notifications.js:102</t>
        </is>
      </c>
      <c r="F51" s="4" t="inlineStr">
        <is>
          <t>VH-002</t>
        </is>
      </c>
    </row>
    <row r="52">
      <c r="A52" s="2" t="inlineStr">
        <is>
          <t>/api/notifications/read</t>
        </is>
      </c>
      <c r="B52" s="2" t="inlineStr">
        <is>
          <t>POST</t>
        </is>
      </c>
      <c r="C52" s="5" t="inlineStr">
        <is>
          <t>NO</t>
        </is>
      </c>
      <c r="D52" s="2" t="inlineStr">
        <is>
          <t>public</t>
        </is>
      </c>
      <c r="E52" s="2" t="inlineStr">
        <is>
          <t>src/routes/notifications.js:120</t>
        </is>
      </c>
      <c r="F52" s="4" t="inlineStr">
        <is>
          <t>VH-002 anonymous write</t>
        </is>
      </c>
    </row>
    <row r="53">
      <c r="A53" s="2" t="inlineStr">
        <is>
          <t>/api/notifications/snooze</t>
        </is>
      </c>
      <c r="B53" s="2" t="inlineStr">
        <is>
          <t>POST</t>
        </is>
      </c>
      <c r="C53" s="5" t="inlineStr">
        <is>
          <t>NO</t>
        </is>
      </c>
      <c r="D53" s="2" t="inlineStr">
        <is>
          <t>public</t>
        </is>
      </c>
      <c r="E53" s="2" t="inlineStr">
        <is>
          <t>src/routes/notifications.js:141</t>
        </is>
      </c>
      <c r="F53" s="4" t="inlineStr">
        <is>
          <t>VH-002 anonymous write</t>
        </is>
      </c>
    </row>
    <row r="54">
      <c r="A54" s="2" t="inlineStr">
        <is>
          <t>/api/notifications/:id</t>
        </is>
      </c>
      <c r="B54" s="2" t="inlineStr">
        <is>
          <t>DELETE</t>
        </is>
      </c>
      <c r="C54" s="5" t="inlineStr">
        <is>
          <t>NO</t>
        </is>
      </c>
      <c r="D54" s="2" t="inlineStr">
        <is>
          <t>public</t>
        </is>
      </c>
      <c r="E54" s="2" t="inlineStr">
        <is>
          <t>src/routes/notifications.js:158</t>
        </is>
      </c>
      <c r="F54" s="4" t="inlineStr">
        <is>
          <t>VH-002 anonymous delete</t>
        </is>
      </c>
    </row>
    <row r="55">
      <c r="A55" s="2" t="inlineStr">
        <is>
          <t>/api/notifications/preferences</t>
        </is>
      </c>
      <c r="B55" s="2" t="inlineStr">
        <is>
          <t>POST</t>
        </is>
      </c>
      <c r="C55" s="5" t="inlineStr">
        <is>
          <t>NO</t>
        </is>
      </c>
      <c r="D55" s="2" t="inlineStr">
        <is>
          <t>public</t>
        </is>
      </c>
      <c r="E55" s="2" t="inlineStr">
        <is>
          <t>src/routes/notifications.js:174</t>
        </is>
      </c>
      <c r="F55" s="4" t="inlineStr">
        <is>
          <t>VH-002 anonymous write</t>
        </is>
      </c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56" customWidth="1" min="4" max="4"/>
    <col width="12" customWidth="1" min="5" max="5"/>
    <col width="46" customWidth="1" min="6" max="6"/>
    <col width="30" customWidth="1" min="7" max="7"/>
  </cols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Severity</t>
        </is>
      </c>
      <c r="D1" s="1" t="inlineStr">
        <is>
          <t>Advisory</t>
        </is>
      </c>
      <c r="E1" s="1" t="inlineStr">
        <is>
          <t>Type</t>
        </is>
      </c>
      <c r="F1" s="1" t="inlineStr">
        <is>
          <t>Reachability</t>
        </is>
      </c>
      <c r="G1" s="1" t="inlineStr">
        <is>
          <t>Remediation</t>
        </is>
      </c>
    </row>
    <row r="2">
      <c r="A2" s="2" t="inlineStr">
        <is>
          <t>nodemailer</t>
        </is>
      </c>
      <c r="B2" s="2" t="inlineStr">
        <is>
          <t>^6.9.7</t>
        </is>
      </c>
      <c r="C2" s="5" t="inlineStr">
        <is>
          <t>High</t>
        </is>
      </c>
      <c r="D2" s="4" t="inlineStr">
        <is>
          <t>Email to an unintended domain (Interpretation Conflict)</t>
        </is>
      </c>
      <c r="E2" s="2" t="inlineStr">
        <is>
          <t>Direct</t>
        </is>
      </c>
      <c r="F2" s="4" t="inlineStr">
        <is>
          <t>Reachable via public POST /api/applications/send-email</t>
        </is>
      </c>
      <c r="G2" s="2" t="inlineStr">
        <is>
          <t>npm audit fix / upgrade</t>
        </is>
      </c>
    </row>
    <row r="3">
      <c r="A3" s="2" t="inlineStr">
        <is>
          <t>brace-expansion</t>
        </is>
      </c>
      <c r="B3" s="2" t="inlineStr">
        <is>
          <t>transitive</t>
        </is>
      </c>
      <c r="C3" s="5" t="inlineStr">
        <is>
          <t>High</t>
        </is>
      </c>
      <c r="D3" s="4" t="inlineStr">
        <is>
          <t>DoS via exponential-time expansion</t>
        </is>
      </c>
      <c r="E3" s="2" t="inlineStr">
        <is>
          <t>Transitive</t>
        </is>
      </c>
      <c r="F3" s="4" t="inlineStr">
        <is>
          <t>Build/dev tooling only; not on a request path</t>
        </is>
      </c>
      <c r="G3" s="2" t="inlineStr">
        <is>
          <t>npm audit fix</t>
        </is>
      </c>
    </row>
    <row r="4">
      <c r="A4" s="2" t="inlineStr">
        <is>
          <t>uuid</t>
        </is>
      </c>
      <c r="B4" s="2" t="inlineStr">
        <is>
          <t>^9.0.0</t>
        </is>
      </c>
      <c r="C4" s="2" t="inlineStr">
        <is>
          <t>Moderate</t>
        </is>
      </c>
      <c r="D4" s="4" t="inlineStr">
        <is>
          <t>Missing buffer bounds check in v3/v5/v6 when buf supplied</t>
        </is>
      </c>
      <c r="E4" s="2" t="inlineStr">
        <is>
          <t>Direct</t>
        </is>
      </c>
      <c r="F4" s="4" t="inlineStr">
        <is>
          <t>Not called with a caller-supplied buffer</t>
        </is>
      </c>
      <c r="G4" s="2" t="inlineStr">
        <is>
          <t>npm audit fix</t>
        </is>
      </c>
    </row>
    <row r="5">
      <c r="A5" s="2" t="inlineStr">
        <is>
          <t>(1 low advisory)</t>
        </is>
      </c>
      <c r="B5" s="2" t="inlineStr">
        <is>
          <t>-</t>
        </is>
      </c>
      <c r="C5" s="7" t="inlineStr">
        <is>
          <t>Low</t>
        </is>
      </c>
      <c r="D5" s="4" t="inlineStr">
        <is>
          <t>See `npm audit` output for detail</t>
        </is>
      </c>
      <c r="E5" s="2" t="inlineStr">
        <is>
          <t>Transitive</t>
        </is>
      </c>
      <c r="F5" s="4" t="inlineStr">
        <is>
          <t>No known request-path exposure</t>
        </is>
      </c>
      <c r="G5" s="2" t="inlineStr">
        <is>
          <t>npm audit fix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</cols>
  <sheetData>
    <row r="1">
      <c r="A1" s="8" t="inlineStr">
        <is>
          <t>VoiceHire Backend — Risk Summary</t>
        </is>
      </c>
    </row>
    <row r="2">
      <c r="A2" s="9" t="inlineStr">
        <is>
          <t>Target: voicehire-backend (Node.js 18 / Express 4 / Supabase Postgres)</t>
        </is>
      </c>
    </row>
    <row r="3">
      <c r="A3" s="9" t="inlineStr">
        <is>
          <t>Assessed: 2026-08-17</t>
        </is>
      </c>
    </row>
    <row r="5">
      <c r="A5" s="10" t="inlineStr">
        <is>
          <t>Severity</t>
        </is>
      </c>
      <c r="B5" s="10" t="inlineStr">
        <is>
          <t>Count</t>
        </is>
      </c>
    </row>
    <row r="6">
      <c r="A6" s="11" t="inlineStr">
        <is>
          <t>Critical</t>
        </is>
      </c>
      <c r="B6" s="12">
        <f>COUNTIF('Security Findings'!$B$2:$B$13,A6)</f>
        <v/>
      </c>
    </row>
    <row r="7">
      <c r="A7" s="13" t="inlineStr">
        <is>
          <t>High</t>
        </is>
      </c>
      <c r="B7" s="12">
        <f>COUNTIF('Security Findings'!$B$2:$B$13,A7)</f>
        <v/>
      </c>
    </row>
    <row r="8">
      <c r="A8" s="14" t="inlineStr">
        <is>
          <t>Medium</t>
        </is>
      </c>
      <c r="B8" s="12">
        <f>COUNTIF('Security Findings'!$B$2:$B$13,A8)</f>
        <v/>
      </c>
    </row>
    <row r="9">
      <c r="A9" s="15" t="inlineStr">
        <is>
          <t>Low</t>
        </is>
      </c>
      <c r="B9" s="12">
        <f>COUNTIF('Security Findings'!$B$2:$B$13,A9)</f>
        <v/>
      </c>
    </row>
    <row r="10">
      <c r="A10" s="10" t="inlineStr">
        <is>
          <t>TOTAL</t>
        </is>
      </c>
      <c r="B10" s="10">
        <f>SUM(B6:B9)</f>
        <v/>
      </c>
    </row>
    <row r="12">
      <c r="A12" s="10" t="inlineStr">
        <is>
          <t>Security Score (out of 100)</t>
        </is>
      </c>
      <c r="B12" s="16">
        <f>MAX(0,100-(B6*20+B7*10+B8*4+B9*1))</f>
        <v/>
      </c>
    </row>
    <row r="13">
      <c r="A13" s="17" t="inlineStr">
        <is>
          <t>Weighting: Critical -20, High -10, Medium -4, Low -1 from a base of 100.</t>
        </is>
      </c>
    </row>
    <row r="15">
      <c r="A15" s="10" t="inlineStr">
        <is>
          <t>Endpoint exposure</t>
        </is>
      </c>
    </row>
    <row r="16">
      <c r="A16" s="12" t="inlineStr">
        <is>
          <t>Total endpoints</t>
        </is>
      </c>
      <c r="B16" s="12">
        <f>COUNTA('Endpoint Inventory'!$A$2:$A$55)</f>
        <v/>
      </c>
    </row>
    <row r="17">
      <c r="A17" s="12" t="inlineStr">
        <is>
          <t>Requiring authentication</t>
        </is>
      </c>
      <c r="B17" s="12">
        <f>COUNTIF('Endpoint Inventory'!$C$2:$C$55,"Yes")</f>
        <v/>
      </c>
    </row>
    <row r="18">
      <c r="A18" s="12" t="inlineStr">
        <is>
          <t>Unauthenticated (flagged)</t>
        </is>
      </c>
      <c r="B18" s="12">
        <f>COUNTIF('Endpoint Inventory'!$C$2:$C$55,"NO")</f>
        <v/>
      </c>
    </row>
    <row r="19">
      <c r="A19" s="12" t="inlineStr">
        <is>
          <t>Unauthenticated (by design)</t>
        </is>
      </c>
      <c r="B19" s="12">
        <f>COUNTIF('Endpoint Inventory'!$C$2:$C$55,"No")</f>
        <v/>
      </c>
    </row>
    <row r="21">
      <c r="A21" s="10" t="inlineStr">
        <is>
          <t>Controls verified as working</t>
        </is>
      </c>
    </row>
    <row r="22">
      <c r="A22" s="18" t="inlineStr">
        <is>
          <t>PASS  Identity is server-verified</t>
        </is>
      </c>
      <c r="B22" s="19" t="inlineStr">
        <is>
          <t>src/middleware/auth.js</t>
        </is>
      </c>
    </row>
    <row r="23">
      <c r="A23" s="18" t="inlineStr">
        <is>
          <t>PASS  JWT forgery rejected</t>
        </is>
      </c>
      <c r="B23" s="19" t="inlineStr">
        <is>
          <t>DAST</t>
        </is>
      </c>
    </row>
    <row r="24">
      <c r="A24" s="18" t="inlineStr">
        <is>
          <t>PASS  Two-client RLS model</t>
        </is>
      </c>
      <c r="B24" s="19" t="inlineStr">
        <is>
          <t>src/config/supabase.js</t>
        </is>
      </c>
    </row>
    <row r="25">
      <c r="A25" s="18" t="inlineStr">
        <is>
          <t>PASS  No SQL injection surface</t>
        </is>
      </c>
      <c r="B25" s="19" t="inlineStr">
        <is>
          <t>src/routes/*</t>
        </is>
      </c>
    </row>
    <row r="26">
      <c r="A26" s="18" t="inlineStr">
        <is>
          <t>PASS  No hardcoded secrets</t>
        </is>
      </c>
      <c r="B26" s="19" t="inlineStr">
        <is>
          <t>repository scan</t>
        </is>
      </c>
    </row>
    <row r="27">
      <c r="A27" s="18" t="inlineStr">
        <is>
          <t>PASS  Errors do not leak internals</t>
        </is>
      </c>
      <c r="B27" s="19" t="inlineStr">
        <is>
          <t>server.js:100-118</t>
        </is>
      </c>
    </row>
    <row r="28">
      <c r="A28" s="18" t="inlineStr">
        <is>
          <t>PASS  Legacy credential-free auth closed</t>
        </is>
      </c>
      <c r="B28" s="19" t="inlineStr">
        <is>
          <t>src/routes/auth.js</t>
        </is>
      </c>
    </row>
    <row r="29">
      <c r="A29" s="18" t="inlineStr">
        <is>
          <t>PASS  Body size limited</t>
        </is>
      </c>
      <c r="B29" s="19" t="inlineStr">
        <is>
          <t>server.js:23-24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2026-08-17T15:21:26Z</dcterms:created>
  <dcterms:modified xmlns:dcterms="http://purl.org/dc/terms/" xmlns:xsi="http://www.w3.org/2001/XMLSchema-instance" xsi:type="dcterms:W3CDTF">2026-08-17T15:21:26Z</dcterms:modified>
</cp:coreProperties>
</file>